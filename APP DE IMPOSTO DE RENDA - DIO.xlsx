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sa\Documents\JUSSARA\"/>
    </mc:Choice>
  </mc:AlternateContent>
  <xr:revisionPtr revIDLastSave="0" documentId="13_ncr:1_{4E1BB875-786A-470F-A0C5-70F0F2740263}" xr6:coauthVersionLast="47" xr6:coauthVersionMax="47" xr10:uidLastSave="{00000000-0000-0000-0000-000000000000}"/>
  <bookViews>
    <workbookView xWindow="-108" yWindow="-108" windowWidth="23256" windowHeight="12456" tabRatio="418" xr2:uid="{24C84782-09B9-4E8C-9734-F31F1C9A0A28}"/>
  </bookViews>
  <sheets>
    <sheet name="APP" sheetId="1" r:id="rId1"/>
    <sheet name="Chave_Composta" sheetId="2" r:id="rId2"/>
  </sheets>
  <definedNames>
    <definedName name="Aporte">APP!$D$18</definedName>
    <definedName name="Dividendos_Mensais">APP!$D$22</definedName>
    <definedName name="Patrimonio_Acumulado">APP!$D$21</definedName>
    <definedName name="Período_aplicação">APP!$D$19</definedName>
    <definedName name="Rendimento_Carteira">APP!$D$14</definedName>
    <definedName name="Salario">APP!$D$13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6" i="1" l="1"/>
  <c r="D27" i="1"/>
  <c r="D28" i="1"/>
  <c r="D29" i="1"/>
  <c r="D25" i="1"/>
  <c r="D22" i="1"/>
  <c r="D21" i="1"/>
  <c r="D20" i="1"/>
  <c r="C29" i="1" s="1"/>
  <c r="C37" i="1"/>
  <c r="C38" i="1"/>
  <c r="C39" i="1"/>
  <c r="C40" i="1"/>
  <c r="C41" i="1"/>
  <c r="C36" i="1"/>
  <c r="A16" i="2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C33" i="1"/>
  <c r="D15" i="1"/>
  <c r="D38" i="1" l="1"/>
  <c r="D37" i="1"/>
  <c r="D39" i="1"/>
  <c r="D36" i="1"/>
  <c r="D41" i="1"/>
  <c r="D40" i="1"/>
  <c r="C25" i="1"/>
  <c r="C28" i="1"/>
  <c r="C27" i="1"/>
  <c r="C26" i="1"/>
  <c r="D42" i="1" l="1"/>
</calcChain>
</file>

<file path=xl/sharedStrings.xml><?xml version="1.0" encoding="utf-8"?>
<sst xmlns="http://schemas.openxmlformats.org/spreadsheetml/2006/main" count="70" uniqueCount="35">
  <si>
    <t>Por quantos anos?</t>
  </si>
  <si>
    <t>Taxa de rendimento mensal?</t>
  </si>
  <si>
    <t>Dividendos mensais?</t>
  </si>
  <si>
    <t>Quanto investir por mês?</t>
  </si>
  <si>
    <t>Quanto em 02 anos?</t>
  </si>
  <si>
    <t>Quanto em 05 anos?</t>
  </si>
  <si>
    <t>Quanto em 10 anos?</t>
  </si>
  <si>
    <t>Quanto em 20 anos?</t>
  </si>
  <si>
    <t>Quanto em 30 anos?</t>
  </si>
  <si>
    <t>Rendimento Carteira</t>
  </si>
  <si>
    <t>Salario</t>
  </si>
  <si>
    <t>CONFIGURAÇÕES</t>
  </si>
  <si>
    <t>CENÁRIOS</t>
  </si>
  <si>
    <t>DIVIDENDOS</t>
  </si>
  <si>
    <t>INVESTIMENTO MENSAL</t>
  </si>
  <si>
    <t>PERFIL</t>
  </si>
  <si>
    <t>CONSERVADOR</t>
  </si>
  <si>
    <t>AGRESSIVO</t>
  </si>
  <si>
    <t>VALOR INVESTIDO POR MÊS</t>
  </si>
  <si>
    <t>TIPO DE FII</t>
  </si>
  <si>
    <t>Percentual sugerido</t>
  </si>
  <si>
    <t>PAPEL</t>
  </si>
  <si>
    <t>TIJOLO</t>
  </si>
  <si>
    <t>HIBRIDOS</t>
  </si>
  <si>
    <t>FOFs</t>
  </si>
  <si>
    <t>DESENVOLVIMENTO</t>
  </si>
  <si>
    <t>HOTELARIA</t>
  </si>
  <si>
    <t>Valores</t>
  </si>
  <si>
    <t>TIPO FII</t>
  </si>
  <si>
    <t>%</t>
  </si>
  <si>
    <t>CHAVE</t>
  </si>
  <si>
    <t>MODERADO</t>
  </si>
  <si>
    <t>Sugestão Investimento (30%)</t>
  </si>
  <si>
    <t>CHAVE COMPOSTA</t>
  </si>
  <si>
    <t>Patrimônio acumulado?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</si>
</sst>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0.0%"/>
  </numFmts>
  <fonts count="1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0"/>
      <name val="Segoe UI"/>
      <family val="2"/>
    </font>
    <font>
      <b/>
      <sz val="12"/>
      <name val="Segoe UI"/>
      <family val="2"/>
    </font>
    <font>
      <sz val="12"/>
      <name val="Segoe UI"/>
      <family val="2"/>
    </font>
    <font>
      <b/>
      <sz val="16"/>
      <color rgb="FF9C5700"/>
      <name val="Calibri"/>
      <family val="2"/>
      <scheme val="minor"/>
    </font>
    <font>
      <sz val="16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5E3E3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indexed="64"/>
      </top>
      <bottom style="medium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indexed="64"/>
      </top>
      <bottom style="medium">
        <color theme="0" tint="-0.34998626667073579"/>
      </bottom>
      <diagonal/>
    </border>
    <border>
      <left style="medium">
        <color indexed="64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/>
      <top style="medium">
        <color theme="0" tint="-0.34998626667073579"/>
      </top>
      <bottom style="medium">
        <color indexed="64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79">
    <xf numFmtId="0" fontId="0" fillId="0" borderId="0" xfId="0"/>
    <xf numFmtId="0" fontId="0" fillId="3" borderId="0" xfId="0" applyFill="1"/>
    <xf numFmtId="0" fontId="1" fillId="3" borderId="0" xfId="0" applyFont="1" applyFill="1"/>
    <xf numFmtId="0" fontId="2" fillId="0" borderId="0" xfId="0" applyFon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2" fillId="3" borderId="0" xfId="0" applyFont="1" applyFill="1"/>
    <xf numFmtId="0" fontId="0" fillId="0" borderId="7" xfId="0" applyBorder="1"/>
    <xf numFmtId="0" fontId="0" fillId="0" borderId="10" xfId="0" applyBorder="1"/>
    <xf numFmtId="0" fontId="0" fillId="0" borderId="13" xfId="0" applyBorder="1"/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8" fillId="0" borderId="0" xfId="0" applyFont="1"/>
    <xf numFmtId="0" fontId="9" fillId="2" borderId="2" xfId="0" applyFont="1" applyFill="1" applyBorder="1" applyAlignment="1">
      <alignment horizontal="center" vertical="center"/>
    </xf>
    <xf numFmtId="165" fontId="8" fillId="0" borderId="9" xfId="0" applyNumberFormat="1" applyFont="1" applyBorder="1" applyAlignment="1">
      <alignment horizontal="center"/>
    </xf>
    <xf numFmtId="8" fontId="10" fillId="6" borderId="9" xfId="0" applyNumberFormat="1" applyFont="1" applyFill="1" applyBorder="1" applyAlignment="1">
      <alignment horizontal="center"/>
    </xf>
    <xf numFmtId="8" fontId="10" fillId="6" borderId="12" xfId="0" applyNumberFormat="1" applyFont="1" applyFill="1" applyBorder="1" applyAlignment="1">
      <alignment horizontal="center"/>
    </xf>
    <xf numFmtId="0" fontId="8" fillId="4" borderId="13" xfId="0" applyFont="1" applyFill="1" applyBorder="1"/>
    <xf numFmtId="164" fontId="8" fillId="4" borderId="6" xfId="0" applyNumberFormat="1" applyFont="1" applyFill="1" applyBorder="1" applyAlignment="1">
      <alignment horizontal="center"/>
    </xf>
    <xf numFmtId="0" fontId="8" fillId="4" borderId="7" xfId="0" applyFont="1" applyFill="1" applyBorder="1"/>
    <xf numFmtId="164" fontId="8" fillId="4" borderId="8" xfId="0" applyNumberFormat="1" applyFont="1" applyFill="1" applyBorder="1" applyAlignment="1">
      <alignment horizontal="center"/>
    </xf>
    <xf numFmtId="0" fontId="11" fillId="4" borderId="7" xfId="0" applyFont="1" applyFill="1" applyBorder="1"/>
    <xf numFmtId="0" fontId="11" fillId="4" borderId="10" xfId="0" applyFont="1" applyFill="1" applyBorder="1"/>
    <xf numFmtId="164" fontId="8" fillId="4" borderId="11" xfId="0" applyNumberFormat="1" applyFont="1" applyFill="1" applyBorder="1" applyAlignment="1">
      <alignment horizontal="center"/>
    </xf>
    <xf numFmtId="164" fontId="8" fillId="0" borderId="12" xfId="0" applyNumberFormat="1" applyFont="1" applyBorder="1" applyAlignment="1">
      <alignment horizontal="center"/>
    </xf>
    <xf numFmtId="164" fontId="8" fillId="4" borderId="14" xfId="0" applyNumberFormat="1" applyFont="1" applyFill="1" applyBorder="1" applyAlignment="1">
      <alignment horizontal="center"/>
    </xf>
    <xf numFmtId="164" fontId="8" fillId="0" borderId="15" xfId="0" applyNumberFormat="1" applyFont="1" applyBorder="1" applyAlignment="1">
      <alignment horizontal="center"/>
    </xf>
    <xf numFmtId="164" fontId="10" fillId="0" borderId="14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165" fontId="10" fillId="0" borderId="9" xfId="0" applyNumberFormat="1" applyFont="1" applyBorder="1" applyAlignment="1">
      <alignment horizontal="center"/>
    </xf>
    <xf numFmtId="0" fontId="5" fillId="6" borderId="0" xfId="0" applyFont="1" applyFill="1"/>
    <xf numFmtId="0" fontId="12" fillId="5" borderId="0" xfId="1" applyFont="1"/>
    <xf numFmtId="0" fontId="13" fillId="5" borderId="0" xfId="1" applyFont="1"/>
    <xf numFmtId="0" fontId="14" fillId="6" borderId="0" xfId="0" applyFont="1" applyFill="1"/>
    <xf numFmtId="164" fontId="14" fillId="6" borderId="0" xfId="0" applyNumberFormat="1" applyFont="1" applyFill="1"/>
    <xf numFmtId="0" fontId="15" fillId="6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164" fontId="5" fillId="6" borderId="0" xfId="0" applyNumberFormat="1" applyFont="1" applyFill="1" applyAlignment="1">
      <alignment horizontal="center"/>
    </xf>
    <xf numFmtId="0" fontId="6" fillId="0" borderId="24" xfId="0" applyFont="1" applyBorder="1" applyAlignment="1">
      <alignment horizontal="center"/>
    </xf>
    <xf numFmtId="9" fontId="0" fillId="0" borderId="25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6" fillId="0" borderId="27" xfId="0" applyFont="1" applyBorder="1" applyAlignment="1">
      <alignment horizontal="center"/>
    </xf>
    <xf numFmtId="9" fontId="0" fillId="0" borderId="28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0" fontId="6" fillId="0" borderId="30" xfId="0" applyFont="1" applyBorder="1" applyAlignment="1">
      <alignment horizontal="center"/>
    </xf>
    <xf numFmtId="9" fontId="0" fillId="0" borderId="31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3" fillId="6" borderId="4" xfId="0" applyFont="1" applyFill="1" applyBorder="1"/>
    <xf numFmtId="0" fontId="15" fillId="6" borderId="5" xfId="0" applyFont="1" applyFill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1" xfId="0" applyBorder="1"/>
    <xf numFmtId="9" fontId="0" fillId="0" borderId="12" xfId="0" applyNumberFormat="1" applyBorder="1" applyAlignment="1">
      <alignment horizontal="center"/>
    </xf>
    <xf numFmtId="0" fontId="10" fillId="6" borderId="18" xfId="0" applyFont="1" applyFill="1" applyBorder="1" applyAlignment="1">
      <alignment horizontal="left"/>
    </xf>
    <xf numFmtId="0" fontId="10" fillId="6" borderId="19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left"/>
    </xf>
    <xf numFmtId="0" fontId="8" fillId="0" borderId="23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10" fillId="6" borderId="20" xfId="0" applyFont="1" applyFill="1" applyBorder="1" applyAlignment="1">
      <alignment horizontal="left"/>
    </xf>
    <xf numFmtId="0" fontId="10" fillId="6" borderId="21" xfId="0" applyFont="1" applyFill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colors>
    <mruColors>
      <color rgb="FFE5E3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B4-4D4C-8BEC-F221A00928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4-4D4C-8BEC-F221A00928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EB4-4D4C-8BEC-F221A00928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EB4-4D4C-8BEC-F221A00928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EB4-4D4C-8BEC-F221A00928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EB4-4D4C-8BEC-F221A00928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F-4F52-A9C8-7F070E258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 horizontalDpi="202" verticalDpi="196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121920</xdr:rowOff>
    </xdr:from>
    <xdr:to>
      <xdr:col>4</xdr:col>
      <xdr:colOff>0</xdr:colOff>
      <xdr:row>10</xdr:row>
      <xdr:rowOff>91440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22D9FD0-DB69-847B-59BB-714980524B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07" r="589" b="-1612"/>
        <a:stretch/>
      </xdr:blipFill>
      <xdr:spPr>
        <a:xfrm>
          <a:off x="236220" y="121920"/>
          <a:ext cx="5814060" cy="1798320"/>
        </a:xfrm>
        <a:prstGeom prst="rect">
          <a:avLst/>
        </a:prstGeom>
      </xdr:spPr>
    </xdr:pic>
    <xdr:clientData/>
  </xdr:twoCellAnchor>
  <xdr:twoCellAnchor>
    <xdr:from>
      <xdr:col>1</xdr:col>
      <xdr:colOff>548640</xdr:colOff>
      <xdr:row>43</xdr:row>
      <xdr:rowOff>22860</xdr:rowOff>
    </xdr:from>
    <xdr:to>
      <xdr:col>4</xdr:col>
      <xdr:colOff>144780</xdr:colOff>
      <xdr:row>53</xdr:row>
      <xdr:rowOff>7620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9FD352-33CE-2334-3922-1A5EEBCC9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AA9B3-96CD-4FFF-B9FB-12D8401F0AF7}">
  <dimension ref="A11:I49"/>
  <sheetViews>
    <sheetView showGridLines="0" tabSelected="1" topLeftCell="A22" workbookViewId="0">
      <selection activeCell="C25" sqref="C25"/>
    </sheetView>
  </sheetViews>
  <sheetFormatPr defaultColWidth="0" defaultRowHeight="14.4" x14ac:dyDescent="0.3"/>
  <cols>
    <col min="1" max="1" width="3.44140625" customWidth="1"/>
    <col min="2" max="2" width="40.88671875" customWidth="1"/>
    <col min="3" max="3" width="26.5546875" bestFit="1" customWidth="1"/>
    <col min="4" max="4" width="17.33203125" customWidth="1"/>
    <col min="5" max="5" width="7.6640625" customWidth="1"/>
    <col min="6" max="6" width="4.88671875" customWidth="1"/>
    <col min="7" max="7" width="7.21875" customWidth="1"/>
    <col min="8" max="9" width="24.21875" hidden="1" customWidth="1"/>
    <col min="10" max="16384" width="8.88671875" hidden="1"/>
  </cols>
  <sheetData>
    <row r="11" spans="2:4" ht="15" thickBot="1" x14ac:dyDescent="0.35"/>
    <row r="12" spans="2:4" ht="21.6" thickBot="1" x14ac:dyDescent="0.35">
      <c r="B12" s="63" t="s">
        <v>11</v>
      </c>
      <c r="C12" s="64"/>
      <c r="D12" s="65"/>
    </row>
    <row r="13" spans="2:4" ht="19.8" customHeight="1" thickBot="1" x14ac:dyDescent="0.5">
      <c r="B13" s="72" t="s">
        <v>10</v>
      </c>
      <c r="C13" s="73"/>
      <c r="D13" s="27">
        <v>5000</v>
      </c>
    </row>
    <row r="14" spans="2:4" ht="14.4" customHeight="1" thickBot="1" x14ac:dyDescent="0.5">
      <c r="B14" s="68" t="s">
        <v>9</v>
      </c>
      <c r="C14" s="69"/>
      <c r="D14" s="15">
        <v>8.0000000000000002E-3</v>
      </c>
    </row>
    <row r="15" spans="2:4" ht="15" customHeight="1" thickBot="1" x14ac:dyDescent="0.5">
      <c r="B15" s="74" t="s">
        <v>32</v>
      </c>
      <c r="C15" s="75"/>
      <c r="D15" s="25">
        <f>D13*30%</f>
        <v>1500</v>
      </c>
    </row>
    <row r="16" spans="2:4" ht="19.8" thickBot="1" x14ac:dyDescent="0.5">
      <c r="B16" s="13"/>
      <c r="C16" s="13"/>
      <c r="D16" s="13"/>
    </row>
    <row r="17" spans="1:4" ht="19.2" x14ac:dyDescent="0.3">
      <c r="B17" s="60" t="s">
        <v>14</v>
      </c>
      <c r="C17" s="61"/>
      <c r="D17" s="62"/>
    </row>
    <row r="18" spans="1:4" ht="19.8" thickBot="1" x14ac:dyDescent="0.5">
      <c r="B18" s="66" t="s">
        <v>3</v>
      </c>
      <c r="C18" s="67"/>
      <c r="D18" s="28">
        <v>500</v>
      </c>
    </row>
    <row r="19" spans="1:4" ht="19.8" thickBot="1" x14ac:dyDescent="0.5">
      <c r="B19" s="68" t="s">
        <v>0</v>
      </c>
      <c r="C19" s="69"/>
      <c r="D19" s="29">
        <v>10</v>
      </c>
    </row>
    <row r="20" spans="1:4" ht="19.8" thickBot="1" x14ac:dyDescent="0.5">
      <c r="A20" s="1"/>
      <c r="B20" s="68" t="s">
        <v>1</v>
      </c>
      <c r="C20" s="69"/>
      <c r="D20" s="30">
        <f>Rendimento_Carteira</f>
        <v>8.0000000000000002E-3</v>
      </c>
    </row>
    <row r="21" spans="1:4" ht="19.8" thickBot="1" x14ac:dyDescent="0.5">
      <c r="A21" s="2">
        <v>2</v>
      </c>
      <c r="B21" s="56" t="s">
        <v>34</v>
      </c>
      <c r="C21" s="57"/>
      <c r="D21" s="16">
        <f>FV(Rendimento_Carteira,Período_aplicação*12,Aporte*-1)</f>
        <v>100108.73470495906</v>
      </c>
    </row>
    <row r="22" spans="1:4" ht="19.8" thickBot="1" x14ac:dyDescent="0.5">
      <c r="A22" s="2">
        <v>5</v>
      </c>
      <c r="B22" s="70" t="s">
        <v>2</v>
      </c>
      <c r="C22" s="71"/>
      <c r="D22" s="17">
        <f>Patrimonio_Acumulado*Rendimento_Carteira</f>
        <v>800.8698776396725</v>
      </c>
    </row>
    <row r="23" spans="1:4" ht="19.8" thickBot="1" x14ac:dyDescent="0.5">
      <c r="A23" s="2">
        <v>10</v>
      </c>
      <c r="B23" s="13"/>
      <c r="C23" s="13"/>
      <c r="D23" s="13"/>
    </row>
    <row r="24" spans="1:4" ht="19.2" x14ac:dyDescent="0.3">
      <c r="B24" s="58" t="s">
        <v>12</v>
      </c>
      <c r="C24" s="59"/>
      <c r="D24" s="14" t="s">
        <v>13</v>
      </c>
    </row>
    <row r="25" spans="1:4" ht="15.6" customHeight="1" thickBot="1" x14ac:dyDescent="0.5">
      <c r="A25" s="2">
        <v>2</v>
      </c>
      <c r="B25" s="18" t="s">
        <v>4</v>
      </c>
      <c r="C25" s="19">
        <f>FV($D$20,$A25*12,$D$18*-1)</f>
        <v>13171.577555559783</v>
      </c>
      <c r="D25" s="26">
        <f>C25*Rendimento_Carteira</f>
        <v>105.37262044447827</v>
      </c>
    </row>
    <row r="26" spans="1:4" ht="15.6" customHeight="1" thickBot="1" x14ac:dyDescent="0.5">
      <c r="A26" s="2">
        <v>5</v>
      </c>
      <c r="B26" s="20" t="s">
        <v>5</v>
      </c>
      <c r="C26" s="21">
        <f>FV($D$20,$A26*12,$D$18*-1)</f>
        <v>38311.933415940111</v>
      </c>
      <c r="D26" s="26">
        <f>C26*Rendimento_Carteira</f>
        <v>306.49546732752088</v>
      </c>
    </row>
    <row r="27" spans="1:4" ht="19.8" thickBot="1" x14ac:dyDescent="0.5">
      <c r="A27" s="2">
        <v>10</v>
      </c>
      <c r="B27" s="20" t="s">
        <v>6</v>
      </c>
      <c r="C27" s="21">
        <f>FV($D$20,$A27*12,$D$18*-1)</f>
        <v>100108.73470495906</v>
      </c>
      <c r="D27" s="26">
        <f>C27*Rendimento_Carteira</f>
        <v>800.8698776396725</v>
      </c>
    </row>
    <row r="28" spans="1:4" ht="19.8" thickBot="1" x14ac:dyDescent="0.5">
      <c r="A28" s="2">
        <v>20</v>
      </c>
      <c r="B28" s="22" t="s">
        <v>7</v>
      </c>
      <c r="C28" s="21">
        <f>FV($D$20,$A28*12,$D$18*-1)</f>
        <v>360565.60963756416</v>
      </c>
      <c r="D28" s="26">
        <f>C28*Rendimento_Carteira</f>
        <v>2884.5248771005135</v>
      </c>
    </row>
    <row r="29" spans="1:4" ht="19.8" thickBot="1" x14ac:dyDescent="0.5">
      <c r="A29" s="6">
        <v>30</v>
      </c>
      <c r="B29" s="23" t="s">
        <v>8</v>
      </c>
      <c r="C29" s="24">
        <f>FV($D$20,$A29*12,$D$18*-1)</f>
        <v>1038206.6156855426</v>
      </c>
      <c r="D29" s="26">
        <f>C29*Rendimento_Carteira</f>
        <v>8305.6529254843408</v>
      </c>
    </row>
    <row r="30" spans="1:4" x14ac:dyDescent="0.3">
      <c r="B30" s="3"/>
      <c r="C30" s="4"/>
      <c r="D30" s="5"/>
    </row>
    <row r="31" spans="1:4" x14ac:dyDescent="0.3">
      <c r="B31" s="3"/>
      <c r="C31" s="4"/>
      <c r="D31" s="5"/>
    </row>
    <row r="32" spans="1:4" ht="21" x14ac:dyDescent="0.4">
      <c r="B32" s="32" t="s">
        <v>15</v>
      </c>
      <c r="C32" s="32" t="s">
        <v>16</v>
      </c>
      <c r="D32" s="33"/>
    </row>
    <row r="33" spans="2:4" ht="15.6" x14ac:dyDescent="0.3">
      <c r="B33" s="34" t="s">
        <v>18</v>
      </c>
      <c r="C33" s="35">
        <f>Aporte</f>
        <v>500</v>
      </c>
      <c r="D33" s="34"/>
    </row>
    <row r="35" spans="2:4" ht="18" x14ac:dyDescent="0.35">
      <c r="B35" s="36" t="s">
        <v>19</v>
      </c>
      <c r="C35" s="36" t="s">
        <v>20</v>
      </c>
      <c r="D35" s="36" t="s">
        <v>27</v>
      </c>
    </row>
    <row r="36" spans="2:4" ht="16.2" thickBot="1" x14ac:dyDescent="0.35">
      <c r="B36" s="39" t="s">
        <v>21</v>
      </c>
      <c r="C36" s="40">
        <f>VLOOKUP($C$32&amp;"-"&amp;B36,Chave_Composta!$A:$D,4,FALSE)</f>
        <v>0.3</v>
      </c>
      <c r="D36" s="41">
        <f>C36*$C$33</f>
        <v>150</v>
      </c>
    </row>
    <row r="37" spans="2:4" ht="16.2" thickBot="1" x14ac:dyDescent="0.35">
      <c r="B37" s="42" t="s">
        <v>22</v>
      </c>
      <c r="C37" s="43">
        <f>VLOOKUP($C$32&amp;"-"&amp;B37,Chave_Composta!$A:$D,4,FALSE)</f>
        <v>0.5</v>
      </c>
      <c r="D37" s="44">
        <f>C37*$C$33</f>
        <v>250</v>
      </c>
    </row>
    <row r="38" spans="2:4" ht="16.2" thickBot="1" x14ac:dyDescent="0.35">
      <c r="B38" s="42" t="s">
        <v>23</v>
      </c>
      <c r="C38" s="43">
        <f>VLOOKUP($C$32&amp;"-"&amp;B38,Chave_Composta!$A:$D,4,FALSE)</f>
        <v>0.1</v>
      </c>
      <c r="D38" s="44">
        <f t="shared" ref="D38:D41" si="0">C38*$C$33</f>
        <v>50</v>
      </c>
    </row>
    <row r="39" spans="2:4" ht="16.2" thickBot="1" x14ac:dyDescent="0.35">
      <c r="B39" s="42" t="s">
        <v>24</v>
      </c>
      <c r="C39" s="43">
        <f>VLOOKUP($C$32&amp;"-"&amp;B39,Chave_Composta!$A:$D,4,FALSE)</f>
        <v>0.1</v>
      </c>
      <c r="D39" s="44">
        <f t="shared" si="0"/>
        <v>50</v>
      </c>
    </row>
    <row r="40" spans="2:4" ht="16.2" thickBot="1" x14ac:dyDescent="0.35">
      <c r="B40" s="42" t="s">
        <v>25</v>
      </c>
      <c r="C40" s="43">
        <f>VLOOKUP($C$32&amp;"-"&amp;B40,Chave_Composta!$A:$D,4,FALSE)</f>
        <v>0</v>
      </c>
      <c r="D40" s="44">
        <f t="shared" si="0"/>
        <v>0</v>
      </c>
    </row>
    <row r="41" spans="2:4" ht="15.6" x14ac:dyDescent="0.3">
      <c r="B41" s="45" t="s">
        <v>26</v>
      </c>
      <c r="C41" s="46">
        <f>VLOOKUP($C$32&amp;"-"&amp;B41,Chave_Composta!$A:$D,4,FALSE)</f>
        <v>0</v>
      </c>
      <c r="D41" s="47">
        <f t="shared" si="0"/>
        <v>0</v>
      </c>
    </row>
    <row r="42" spans="2:4" ht="15.6" x14ac:dyDescent="0.3">
      <c r="B42" s="37"/>
      <c r="C42" s="31"/>
      <c r="D42" s="38">
        <f>SUM(D36:D41)</f>
        <v>500</v>
      </c>
    </row>
    <row r="49" customFormat="1" x14ac:dyDescent="0.3"/>
  </sheetData>
  <mergeCells count="11">
    <mergeCell ref="B21:C21"/>
    <mergeCell ref="B24:C24"/>
    <mergeCell ref="B17:D17"/>
    <mergeCell ref="B12:D12"/>
    <mergeCell ref="B18:C18"/>
    <mergeCell ref="B19:C19"/>
    <mergeCell ref="B20:C20"/>
    <mergeCell ref="B22:C22"/>
    <mergeCell ref="B13:C13"/>
    <mergeCell ref="B14:C14"/>
    <mergeCell ref="B15:C15"/>
  </mergeCells>
  <dataValidations count="1">
    <dataValidation type="list" allowBlank="1" showInputMessage="1" showErrorMessage="1" sqref="C32" xr:uid="{BBF76246-022A-44D1-B663-7750B517818A}">
      <formula1>"CONSERVADOR, AGRESSIVO, MODERADO"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202" verticalDpi="196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2DC1-B259-47DA-B854-8D35B7D0AF16}">
  <dimension ref="A1:D20"/>
  <sheetViews>
    <sheetView showGridLines="0" workbookViewId="0">
      <selection activeCell="G9" sqref="G9"/>
    </sheetView>
  </sheetViews>
  <sheetFormatPr defaultRowHeight="14.4" x14ac:dyDescent="0.3"/>
  <cols>
    <col min="1" max="1" width="31.109375" customWidth="1"/>
    <col min="2" max="2" width="14.88671875" customWidth="1"/>
    <col min="3" max="3" width="21.33203125" customWidth="1"/>
  </cols>
  <sheetData>
    <row r="1" spans="1:4" ht="21" x14ac:dyDescent="0.4">
      <c r="A1" s="76" t="s">
        <v>33</v>
      </c>
      <c r="B1" s="77"/>
      <c r="C1" s="77"/>
      <c r="D1" s="78"/>
    </row>
    <row r="2" spans="1:4" ht="18" x14ac:dyDescent="0.35">
      <c r="A2" s="50" t="s">
        <v>30</v>
      </c>
      <c r="B2" s="36" t="s">
        <v>15</v>
      </c>
      <c r="C2" s="36" t="s">
        <v>28</v>
      </c>
      <c r="D2" s="51" t="s">
        <v>29</v>
      </c>
    </row>
    <row r="3" spans="1:4" ht="16.2" thickBot="1" x14ac:dyDescent="0.35">
      <c r="A3" s="9" t="str">
        <f>B3&amp;"-"&amp;C3</f>
        <v>CONSERVADOR-PAPEL</v>
      </c>
      <c r="B3" s="48" t="s">
        <v>16</v>
      </c>
      <c r="C3" s="10" t="s">
        <v>21</v>
      </c>
      <c r="D3" s="52">
        <v>0.3</v>
      </c>
    </row>
    <row r="4" spans="1:4" ht="16.2" thickBot="1" x14ac:dyDescent="0.35">
      <c r="A4" s="7" t="str">
        <f t="shared" ref="A4:A8" si="0">B4&amp;"-"&amp;C4</f>
        <v>CONSERVADOR-TIJOLO</v>
      </c>
      <c r="B4" s="49" t="s">
        <v>16</v>
      </c>
      <c r="C4" s="11" t="s">
        <v>22</v>
      </c>
      <c r="D4" s="53">
        <v>0.5</v>
      </c>
    </row>
    <row r="5" spans="1:4" ht="16.2" thickBot="1" x14ac:dyDescent="0.35">
      <c r="A5" s="7" t="str">
        <f t="shared" si="0"/>
        <v>CONSERVADOR-HIBRIDOS</v>
      </c>
      <c r="B5" s="49" t="s">
        <v>16</v>
      </c>
      <c r="C5" s="11" t="s">
        <v>23</v>
      </c>
      <c r="D5" s="53">
        <v>0.1</v>
      </c>
    </row>
    <row r="6" spans="1:4" ht="16.2" thickBot="1" x14ac:dyDescent="0.35">
      <c r="A6" s="7" t="str">
        <f t="shared" si="0"/>
        <v>CONSERVADOR-FOFs</v>
      </c>
      <c r="B6" s="49" t="s">
        <v>16</v>
      </c>
      <c r="C6" s="11" t="s">
        <v>24</v>
      </c>
      <c r="D6" s="53">
        <v>0.1</v>
      </c>
    </row>
    <row r="7" spans="1:4" ht="16.2" thickBot="1" x14ac:dyDescent="0.35">
      <c r="A7" s="7" t="str">
        <f t="shared" si="0"/>
        <v>CONSERVADOR-DESENVOLVIMENTO</v>
      </c>
      <c r="B7" s="49" t="s">
        <v>16</v>
      </c>
      <c r="C7" s="11" t="s">
        <v>25</v>
      </c>
      <c r="D7" s="53">
        <v>0</v>
      </c>
    </row>
    <row r="8" spans="1:4" ht="16.2" thickBot="1" x14ac:dyDescent="0.35">
      <c r="A8" s="7" t="str">
        <f t="shared" si="0"/>
        <v>CONSERVADOR-HOTELARIA</v>
      </c>
      <c r="B8" s="49" t="s">
        <v>16</v>
      </c>
      <c r="C8" s="11" t="s">
        <v>26</v>
      </c>
      <c r="D8" s="53">
        <v>0</v>
      </c>
    </row>
    <row r="9" spans="1:4" ht="16.2" thickBot="1" x14ac:dyDescent="0.35">
      <c r="A9" s="7" t="str">
        <f>B9&amp;"-"&amp;C9</f>
        <v>MODERADO-PAPEL</v>
      </c>
      <c r="B9" s="49" t="s">
        <v>31</v>
      </c>
      <c r="C9" s="11" t="s">
        <v>21</v>
      </c>
      <c r="D9" s="53">
        <v>0.32</v>
      </c>
    </row>
    <row r="10" spans="1:4" ht="16.2" thickBot="1" x14ac:dyDescent="0.35">
      <c r="A10" s="7" t="str">
        <f t="shared" ref="A10:A14" si="1">B10&amp;"-"&amp;C10</f>
        <v>MODERADO-TIJOLO</v>
      </c>
      <c r="B10" s="49" t="s">
        <v>31</v>
      </c>
      <c r="C10" s="11" t="s">
        <v>22</v>
      </c>
      <c r="D10" s="53">
        <v>0.35</v>
      </c>
    </row>
    <row r="11" spans="1:4" ht="16.2" thickBot="1" x14ac:dyDescent="0.35">
      <c r="A11" s="7" t="str">
        <f t="shared" si="1"/>
        <v>MODERADO-HIBRIDOS</v>
      </c>
      <c r="B11" s="49" t="s">
        <v>31</v>
      </c>
      <c r="C11" s="11" t="s">
        <v>23</v>
      </c>
      <c r="D11" s="53">
        <v>0.08</v>
      </c>
    </row>
    <row r="12" spans="1:4" ht="16.2" thickBot="1" x14ac:dyDescent="0.35">
      <c r="A12" s="7" t="str">
        <f t="shared" si="1"/>
        <v>MODERADO-FOFs</v>
      </c>
      <c r="B12" s="49" t="s">
        <v>31</v>
      </c>
      <c r="C12" s="11" t="s">
        <v>24</v>
      </c>
      <c r="D12" s="53">
        <v>0.1</v>
      </c>
    </row>
    <row r="13" spans="1:4" ht="16.2" thickBot="1" x14ac:dyDescent="0.35">
      <c r="A13" s="7" t="str">
        <f t="shared" si="1"/>
        <v>MODERADO-DESENVOLVIMENTO</v>
      </c>
      <c r="B13" s="49" t="s">
        <v>31</v>
      </c>
      <c r="C13" s="11" t="s">
        <v>25</v>
      </c>
      <c r="D13" s="53">
        <v>0.1</v>
      </c>
    </row>
    <row r="14" spans="1:4" ht="16.2" thickBot="1" x14ac:dyDescent="0.35">
      <c r="A14" s="7" t="str">
        <f t="shared" si="1"/>
        <v>MODERADO-HOTELARIA</v>
      </c>
      <c r="B14" s="49" t="s">
        <v>31</v>
      </c>
      <c r="C14" s="11" t="s">
        <v>26</v>
      </c>
      <c r="D14" s="53">
        <v>0.1</v>
      </c>
    </row>
    <row r="15" spans="1:4" ht="16.2" thickBot="1" x14ac:dyDescent="0.35">
      <c r="A15" s="7" t="str">
        <f>B15&amp;"-"&amp;C15</f>
        <v>AGRESSIVO-PAPEL</v>
      </c>
      <c r="B15" s="49" t="s">
        <v>17</v>
      </c>
      <c r="C15" s="11" t="s">
        <v>21</v>
      </c>
      <c r="D15" s="53">
        <v>0.5</v>
      </c>
    </row>
    <row r="16" spans="1:4" ht="16.2" thickBot="1" x14ac:dyDescent="0.35">
      <c r="A16" s="7" t="str">
        <f t="shared" ref="A16:A20" si="2">B16&amp;"-"&amp;C16</f>
        <v>AGRESSIVO-TIJOLO</v>
      </c>
      <c r="B16" s="49" t="s">
        <v>17</v>
      </c>
      <c r="C16" s="11" t="s">
        <v>22</v>
      </c>
      <c r="D16" s="53">
        <v>0.1</v>
      </c>
    </row>
    <row r="17" spans="1:4" ht="16.2" thickBot="1" x14ac:dyDescent="0.35">
      <c r="A17" s="7" t="str">
        <f t="shared" si="2"/>
        <v>AGRESSIVO-HIBRIDOS</v>
      </c>
      <c r="B17" s="49" t="s">
        <v>17</v>
      </c>
      <c r="C17" s="11" t="s">
        <v>23</v>
      </c>
      <c r="D17" s="53">
        <v>0.05</v>
      </c>
    </row>
    <row r="18" spans="1:4" ht="16.2" thickBot="1" x14ac:dyDescent="0.35">
      <c r="A18" s="7" t="str">
        <f t="shared" si="2"/>
        <v>AGRESSIVO-FOFs</v>
      </c>
      <c r="B18" s="49" t="s">
        <v>17</v>
      </c>
      <c r="C18" s="11" t="s">
        <v>24</v>
      </c>
      <c r="D18" s="53">
        <v>0.05</v>
      </c>
    </row>
    <row r="19" spans="1:4" ht="16.2" thickBot="1" x14ac:dyDescent="0.35">
      <c r="A19" s="7" t="str">
        <f t="shared" si="2"/>
        <v>AGRESSIVO-DESENVOLVIMENTO</v>
      </c>
      <c r="B19" s="49" t="s">
        <v>17</v>
      </c>
      <c r="C19" s="11" t="s">
        <v>25</v>
      </c>
      <c r="D19" s="53">
        <v>0.2</v>
      </c>
    </row>
    <row r="20" spans="1:4" ht="16.2" thickBot="1" x14ac:dyDescent="0.35">
      <c r="A20" s="8" t="str">
        <f t="shared" si="2"/>
        <v>AGRESSIVO-HOTELARIA</v>
      </c>
      <c r="B20" s="54" t="s">
        <v>17</v>
      </c>
      <c r="C20" s="12" t="s">
        <v>26</v>
      </c>
      <c r="D20" s="55">
        <v>0.1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202" verticalDpi="1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APP</vt:lpstr>
      <vt:lpstr>Chave_Composta</vt:lpstr>
      <vt:lpstr>Aporte</vt:lpstr>
      <vt:lpstr>Dividendos_Mensais</vt:lpstr>
      <vt:lpstr>Patrimonio_Acumulado</vt:lpstr>
      <vt:lpstr>Período_aplicação</vt:lpstr>
      <vt:lpstr>Rendimento_Carteira</vt:lpstr>
      <vt:lpstr>Salario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Jussara Amaro</dc:creator>
  <cp:lastModifiedBy>Jussara Amaro</cp:lastModifiedBy>
  <cp:lastPrinted>2026-09-09T15:35:09Z</cp:lastPrinted>
  <dcterms:created xsi:type="dcterms:W3CDTF">2026-09-08T19:40:54Z</dcterms:created>
  <dcterms:modified xsi:type="dcterms:W3CDTF">2026-09-09T15:51:54Z</dcterms:modified>
</cp:coreProperties>
</file>